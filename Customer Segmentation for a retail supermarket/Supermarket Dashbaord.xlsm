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00\05 Github\Codes\Pet Projects\Supermarket dashboard\"/>
    </mc:Choice>
  </mc:AlternateContent>
  <xr:revisionPtr revIDLastSave="0" documentId="13_ncr:1_{5F4AE697-AC9E-4245-AA98-B27B91489F6E}" xr6:coauthVersionLast="31" xr6:coauthVersionMax="31" xr10:uidLastSave="{00000000-0000-0000-0000-000000000000}"/>
  <bookViews>
    <workbookView xWindow="0" yWindow="0" windowWidth="23040" windowHeight="9072" xr2:uid="{310EA679-1C83-4A01-8541-461D3BD8FE16}"/>
  </bookViews>
  <sheets>
    <sheet name="Executive Summary" sheetId="1" r:id="rId1"/>
    <sheet name="Sales Detail (Customer)" sheetId="2" r:id="rId2"/>
    <sheet name="Sales Detail (Product)" sheetId="6" r:id="rId3"/>
    <sheet name="Charts" sheetId="3" r:id="rId4"/>
    <sheet name="Data" sheetId="4" r:id="rId5"/>
    <sheet name="Code" sheetId="7" r:id="rId6"/>
  </sheets>
  <definedNames>
    <definedName name="ExternalData_1" localSheetId="4" hidden="1">Data!$B$3:$D$5</definedName>
    <definedName name="ExternalData_2" localSheetId="4" hidden="1">Data!$F$3:$H$5</definedName>
  </definedNames>
  <calcPr calcId="17901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C_SUMM_SALES_1362bc68-58d0-4628-aae8-6bdf211c61f0" name="EXEC_SUMM_SALES" connection="Query - EXEC_SUMM_SALES"/>
        </x15:modelTables>
      </x15:dataModel>
    </ext>
  </extLst>
</workbook>
</file>

<file path=xl/calcChain.xml><?xml version="1.0" encoding="utf-8"?>
<calcChain xmlns="http://schemas.openxmlformats.org/spreadsheetml/2006/main">
  <c r="C12" i="1" l="1"/>
  <c r="C11" i="1"/>
  <c r="B12" i="1"/>
  <c r="B11" i="1"/>
  <c r="C6" i="1"/>
  <c r="C5" i="1"/>
  <c r="B6" i="1"/>
  <c r="B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ExternalData_1" description="Data Model" type="5" refreshedVersion="6" minRefreshableVersion="5" saveData="1">
    <dbPr connection="Data Model Connection" command="EXEC_SUMM_SAL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Query - EXEC_SUMM_MEMBER" description="Connection to the 'EXEC_SUMM_MEMBER' query in the workbook." type="5" refreshedVersion="6" background="1" saveData="1">
    <dbPr connection="Provider=Microsoft.Mashup.OleDb.1;Data Source=$Workbook$;Location=EXEC_SUMM_MEMBER;Extended Properties=&quot;&quot;" command="SELECT * FROM [EXEC_SUMM_MEMBER]"/>
  </connection>
  <connection id="3" xr16:uid="{00000000-0015-0000-FFFF-FFFF02000000}" keepAlive="1" name="Query - EXEC_SUMM_MEMBER (2)" description="Connection to the 'EXEC_SUMM_MEMBER (2)' query in the workbook." type="5" refreshedVersion="6" background="1" saveData="1">
    <dbPr connection="Provider=Microsoft.Mashup.OleDb.1;Data Source=$Workbook$;Location=EXEC_SUMM_MEMBER (2);Extended Properties=&quot;&quot;" command="SELECT * FROM [EXEC_SUMM_MEMBER (2)]"/>
  </connection>
  <connection id="4" xr16:uid="{00000000-0015-0000-FFFF-FFFF03000000}" name="Query - EXEC_SUMM_SALES" description="Connection to the 'EXEC_SUMM_SALES' query in the workbook." type="100" refreshedVersion="6" minRefreshableVersion="5">
    <extLst>
      <ext xmlns:x15="http://schemas.microsoft.com/office/spreadsheetml/2010/11/main" uri="{DE250136-89BD-433C-8126-D09CA5730AF9}">
        <x15:connection id="63ca18eb-9049-40e0-b425-74411a6aea84"/>
      </ext>
    </extLst>
  </connection>
  <connection id="5" xr16:uid="{00000000-0015-0000-FFFF-FFFF04000000}" keepAlive="1" name="Query - SUPERMARKET_FILTER_VIEW" description="Connection to the 'SUPERMARKET_FILTER_VIEW' query in the workbook." type="5" refreshedVersion="0" background="1">
    <dbPr connection="Provider=Microsoft.Mashup.OleDb.1;Data Source=$Workbook$;Location=SUPERMARKET_FILTER_VIEW;Extended Properties=&quot;&quot;" command="SELECT * FROM [SUPERMARKET_FILTER_VIEW]"/>
  </connection>
  <connection id="6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<sst xmlns="http://schemas.openxmlformats.org/spreadsheetml/2006/main" count="177" uniqueCount="139">
  <si>
    <t>35-49K</t>
  </si>
  <si>
    <t>2 Adults No Kids</t>
  </si>
  <si>
    <t>GROCERY</t>
  </si>
  <si>
    <t>National</t>
  </si>
  <si>
    <t>PRODUCE</t>
  </si>
  <si>
    <t>NUTRITION</t>
  </si>
  <si>
    <t>PASTRY</t>
  </si>
  <si>
    <t>Private</t>
  </si>
  <si>
    <t>DRUG GM</t>
  </si>
  <si>
    <t>MEAT-PCKGD</t>
  </si>
  <si>
    <t>DELI</t>
  </si>
  <si>
    <t>RESTAURANT</t>
  </si>
  <si>
    <t>SALAD BAR</t>
  </si>
  <si>
    <t>MEAT</t>
  </si>
  <si>
    <t>50-74K</t>
  </si>
  <si>
    <t>COSMETICS</t>
  </si>
  <si>
    <t>25-34K</t>
  </si>
  <si>
    <t>Unknown</t>
  </si>
  <si>
    <t>2 Adults Kids</t>
  </si>
  <si>
    <t>FLORAL</t>
  </si>
  <si>
    <t>SEAFOOD-PCKGD</t>
  </si>
  <si>
    <t>SPIRITS</t>
  </si>
  <si>
    <t>DAIRY DELI</t>
  </si>
  <si>
    <t>KIOSK-GAS</t>
  </si>
  <si>
    <t>75-99K</t>
  </si>
  <si>
    <t>MISC SALES TRAN</t>
  </si>
  <si>
    <t>Single Female</t>
  </si>
  <si>
    <t>Under 15K</t>
  </si>
  <si>
    <t>MISC. TRANS.</t>
  </si>
  <si>
    <t>CNTRL/STORE SUP</t>
  </si>
  <si>
    <t>100-124K</t>
  </si>
  <si>
    <t>SEAFOOD</t>
  </si>
  <si>
    <t>COUP/STR &amp; MFG</t>
  </si>
  <si>
    <t>15-24K</t>
  </si>
  <si>
    <t>GARDEN CENTER</t>
  </si>
  <si>
    <t>125-149K</t>
  </si>
  <si>
    <t>TRAVEL &amp; LEISUR</t>
  </si>
  <si>
    <t>Single Male</t>
  </si>
  <si>
    <t>150-174K</t>
  </si>
  <si>
    <t>1 Adult Kids</t>
  </si>
  <si>
    <t>FROZEN GROCERY</t>
  </si>
  <si>
    <t>250K+</t>
  </si>
  <si>
    <t>CHEF SHOPPE</t>
  </si>
  <si>
    <t>PROD-WHS SALES</t>
  </si>
  <si>
    <t>AUTOMOTIVE</t>
  </si>
  <si>
    <t>GM MERCH EXP</t>
  </si>
  <si>
    <t>175-199K</t>
  </si>
  <si>
    <t>TOYS</t>
  </si>
  <si>
    <t>200-249K</t>
  </si>
  <si>
    <t>PHOTO</t>
  </si>
  <si>
    <t>HOUSEWARES</t>
  </si>
  <si>
    <t>HBC</t>
  </si>
  <si>
    <t>RX</t>
  </si>
  <si>
    <t>VIDEO RENTAL</t>
  </si>
  <si>
    <t>Total Sales</t>
  </si>
  <si>
    <t>This Week</t>
  </si>
  <si>
    <t>Last Week</t>
  </si>
  <si>
    <t>Total Units sold</t>
  </si>
  <si>
    <t>Sales</t>
  </si>
  <si>
    <t>Members</t>
  </si>
  <si>
    <t>Total Member Visits</t>
  </si>
  <si>
    <t>Total Unique Member Visits</t>
  </si>
  <si>
    <t>Sales by</t>
  </si>
  <si>
    <t>Age</t>
  </si>
  <si>
    <t>Marital Status</t>
  </si>
  <si>
    <t>Income Category</t>
  </si>
  <si>
    <t>Family Composition</t>
  </si>
  <si>
    <t>Married</t>
  </si>
  <si>
    <t>Single</t>
  </si>
  <si>
    <t>Department</t>
  </si>
  <si>
    <t>Customer Group</t>
  </si>
  <si>
    <t>Brand</t>
  </si>
  <si>
    <t>Sales By</t>
  </si>
  <si>
    <t>This vs Last Quarter</t>
  </si>
  <si>
    <t>SALES</t>
  </si>
  <si>
    <t>UNITS</t>
  </si>
  <si>
    <t>Executive Summary (Sales)</t>
  </si>
  <si>
    <t>Executive Summary (Members)</t>
  </si>
  <si>
    <t>TOTAL_SHOPPERS</t>
  </si>
  <si>
    <t>TOTAL_VISITS</t>
  </si>
  <si>
    <t>WEEK</t>
  </si>
  <si>
    <t>THIS_WEEK</t>
  </si>
  <si>
    <t>LAST_WEEK</t>
  </si>
  <si>
    <t xml:space="preserve">LAST_WEEK </t>
  </si>
  <si>
    <t xml:space="preserve">THIS_WEEK </t>
  </si>
  <si>
    <t>-----------------------------------</t>
  </si>
  <si>
    <t>--Date Modified: 04/14/2018</t>
  </si>
  <si>
    <t>------------------------------------</t>
  </si>
  <si>
    <t xml:space="preserve">--CREATE TABLE EXEC_SUMM_SALES ( </t>
  </si>
  <si>
    <t>--WEEK CHAR(10),</t>
  </si>
  <si>
    <t>--SALES DECIMAL(34,2),</t>
  </si>
  <si>
    <t>--);</t>
  </si>
  <si>
    <t xml:space="preserve">TRUNCATE TABLE EXEC_SUMM_SALES; </t>
  </si>
  <si>
    <t>INSERT INTO EXEC_SUMM_SALES</t>
  </si>
  <si>
    <t xml:space="preserve">SELECT </t>
  </si>
  <si>
    <t>A.WK AS WEEK,</t>
  </si>
  <si>
    <t>SUM(A.SALES) AS SALES,</t>
  </si>
  <si>
    <t>SUM(A.UNITS) AS UNITS</t>
  </si>
  <si>
    <t>FROM</t>
  </si>
  <si>
    <t>(</t>
  </si>
  <si>
    <t>SELECT</t>
  </si>
  <si>
    <t xml:space="preserve">CASE </t>
  </si>
  <si>
    <t xml:space="preserve">WHEN SV.DAY BETWEEN 12-7+1 AND 12 THEN 'THIS_WEEK' </t>
  </si>
  <si>
    <t>WHEN SV.DAY BETWEEN 12-2*7+1 AND 12-7 THEN 'LAST_WEEK'</t>
  </si>
  <si>
    <t>ELSE 'NULL'</t>
  </si>
  <si>
    <t>END AS WK,</t>
  </si>
  <si>
    <t>SV.TRANS_VALUE AS SALES,</t>
  </si>
  <si>
    <t>SV.QUANTITY AS UNITS</t>
  </si>
  <si>
    <t>FROM [dbo].[SUPERMARKET_FILTER_VIEW] SV</t>
  </si>
  <si>
    <t>WHERE SV.DAY BETWEEN 12-2*7+1 AND 12</t>
  </si>
  <si>
    <t>)A</t>
  </si>
  <si>
    <t xml:space="preserve">GROUP BY WK </t>
  </si>
  <si>
    <t>DROP TABLE EXEC_SUMM_MEMBER;</t>
  </si>
  <si>
    <t xml:space="preserve">CREATE TABLE EXEC_SUMM_MEMBER ( </t>
  </si>
  <si>
    <t>WEEK CHAR(10),</t>
  </si>
  <si>
    <t>TOTAL_SHOPPERS INT,</t>
  </si>
  <si>
    <t>TOTAL_VISITS INT,</t>
  </si>
  <si>
    <t>);</t>
  </si>
  <si>
    <t>TRUNCATE TABLE EXEC_SUMM_MEMBER --CLEARS OLD RECORDS</t>
  </si>
  <si>
    <t>INSERT INTO EXEC_SUMM_MEMBER--UPDATES THE FRESH RECORDS</t>
  </si>
  <si>
    <t>WEEK,</t>
  </si>
  <si>
    <t>COUNT(DISTINCT H_KEY) AS TOTAL_SHOPPERS,</t>
  </si>
  <si>
    <t>COUNT(DISTINCT BASKET_ID) AS TOTAL_VISITS</t>
  </si>
  <si>
    <t>END AS WEEK,</t>
  </si>
  <si>
    <t>H_KEY,</t>
  </si>
  <si>
    <t>BASKET_ID</t>
  </si>
  <si>
    <t>GROUP BY WEEK</t>
  </si>
  <si>
    <t>--Author: Piyush Verma</t>
  </si>
  <si>
    <t>--Code: Customer Health Dashboard</t>
  </si>
  <si>
    <t>--Server: SCOTT\SQLEXPRESS</t>
  </si>
  <si>
    <t>--Database: SUPERMARKET</t>
  </si>
  <si>
    <t>--Tab: Executive Summary</t>
  </si>
  <si>
    <t>---Sales: Total Sales, Total Units sold</t>
  </si>
  <si>
    <t>--UNITS INT</t>
  </si>
  <si>
    <t>---Members: Total Member Visits, Total Unique Member Visits</t>
  </si>
  <si>
    <t>--Tab: Sales Detail (Customer)</t>
  </si>
  <si>
    <t>--Tab: Sales Detail (Product)</t>
  </si>
  <si>
    <t>--Tab: Charts</t>
  </si>
  <si>
    <t>Great Australian Supermarket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</si>
</sst>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9" tint="0.39997558519241921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0" fillId="2" borderId="0" xfId="0" applyFill="1"/>
    <xf numFmtId="0" fontId="1" fillId="2" borderId="1" xfId="0" applyFont="1" applyFill="1" applyBorder="1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1" fillId="2" borderId="0" xfId="0" applyFont="1" applyFill="1" applyBorder="1" applyAlignment="1">
      <alignment horizontal="center"/>
    </xf>
    <xf numFmtId="4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6"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fill>
        <patternFill patternType="solid">
          <fgColor indexed="64"/>
          <bgColor rgb="FFC00000"/>
        </patternFill>
      </fill>
    </dxf>
    <dxf>
      <numFmt numFmtId="0" formatCode="General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7620</xdr:rowOff>
        </xdr:from>
        <xdr:to>
          <xdr:col>6</xdr:col>
          <xdr:colOff>601980</xdr:colOff>
          <xdr:row>4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400-000000000000}" autoFormatId="16" applyNumberFormats="0" applyBorderFormats="0" applyFontFormats="0" applyPatternFormats="0" applyAlignmentFormats="0" applyWidthHeightFormats="0">
  <queryTableRefresh nextId="6">
    <queryTableFields count="3">
      <queryTableField id="4" name="WEEK" tableColumnId="1"/>
      <queryTableField id="2" name="SALES" tableColumnId="2"/>
      <queryTableField id="3" name="UNITS" tableColumnId="3"/>
    </queryTableFields>
  </queryTableRefresh>
  <extLst>
    <ext xmlns:x15="http://schemas.microsoft.com/office/spreadsheetml/2010/11/main" uri="{883FBD77-0823-4a55-B5E3-86C4891E6966}">
      <x15:queryTable sourceDataName="Query - EXEC_SUMM_SAL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400-000001000000}" autoFormatId="16" applyNumberFormats="0" applyBorderFormats="0" applyFontFormats="0" applyPatternFormats="0" applyAlignmentFormats="0" applyWidthHeightFormats="0">
  <queryTableRefresh nextId="7">
    <queryTableFields count="3">
      <queryTableField id="5" name="WEEK" tableColumnId="4"/>
      <queryTableField id="1" name="TOTAL_SHOPPERS" tableColumnId="1"/>
      <queryTableField id="2" name="TOTAL_VISIT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0FB3B3-909F-4BBD-8BE0-D0384E2A145F}" name="EXEC_SUMM_SALES" displayName="EXEC_SUMM_SALES" ref="B3:D5" tableType="queryTable" totalsRowShown="0" headerRowDxfId="5">
  <tableColumns count="3">
    <tableColumn id="1" xr3:uid="{80881490-E064-4835-A431-3AA93C4D4C30}" uniqueName="1" name="WEEK" queryTableFieldId="4" dataDxfId="4"/>
    <tableColumn id="2" xr3:uid="{7BA6E380-BEC3-4B87-AA11-5BBE98F5E95F}" uniqueName="2" name="SALES" queryTableFieldId="2"/>
    <tableColumn id="3" xr3:uid="{49F2ABF6-B9C9-46D6-85F1-49093C987AAF}" uniqueName="3" name="UNIT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699BAD-5ED5-44CB-82E5-06599886ABC6}" name="EXEC_SUMM_MEMBER" displayName="EXEC_SUMM_MEMBER" ref="F3:H5" tableType="queryTable" totalsRowShown="0" headerRowDxfId="3">
  <tableColumns count="3">
    <tableColumn id="4" xr3:uid="{B3EC2CB8-A416-42F2-8AAF-FA1275C5EB57}" uniqueName="4" name="WEEK" queryTableFieldId="5" dataDxfId="2"/>
    <tableColumn id="1" xr3:uid="{13668B30-485C-4069-BB17-18A301FEA747}" uniqueName="1" name="TOTAL_SHOPPERS" queryTableFieldId="1" dataDxfId="1"/>
    <tableColumn id="2" xr3:uid="{9552FA57-36BF-45BC-A124-BED1508742A4}" uniqueName="2" name="TOTAL_VISITS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9363-2E55-4B0D-80E1-4C1DB069E0BC}">
  <sheetPr codeName="Sheet1"/>
  <dimension ref="A1:E12"/>
  <sheetViews>
    <sheetView showGridLines="0" tabSelected="1" workbookViewId="0">
      <selection activeCell="D18" sqref="D18"/>
    </sheetView>
  </sheetViews>
  <sheetFormatPr defaultRowHeight="14.4" x14ac:dyDescent="0.3"/>
  <cols>
    <col min="1" max="1" width="23.77734375" bestFit="1" customWidth="1"/>
    <col min="2" max="2" width="14.5546875" customWidth="1"/>
    <col min="3" max="3" width="13.5546875" customWidth="1"/>
  </cols>
  <sheetData>
    <row r="1" spans="1:5" ht="58.2" customHeight="1" x14ac:dyDescent="0.3">
      <c r="A1" s="12" t="s">
        <v>138</v>
      </c>
      <c r="B1" s="12"/>
      <c r="C1" s="12"/>
      <c r="D1" s="12"/>
      <c r="E1" s="12"/>
    </row>
    <row r="3" spans="1:5" x14ac:dyDescent="0.3">
      <c r="A3" s="10" t="s">
        <v>58</v>
      </c>
      <c r="B3" s="11"/>
      <c r="C3" s="11"/>
    </row>
    <row r="4" spans="1:5" x14ac:dyDescent="0.3">
      <c r="A4" s="3"/>
      <c r="B4" s="3" t="s">
        <v>55</v>
      </c>
      <c r="C4" s="3" t="s">
        <v>56</v>
      </c>
    </row>
    <row r="5" spans="1:5" x14ac:dyDescent="0.3">
      <c r="A5" s="3" t="s">
        <v>54</v>
      </c>
      <c r="B5">
        <f>Data!C4</f>
        <v>4357.2700000000004</v>
      </c>
      <c r="C5">
        <f>Data!C5</f>
        <v>1772.61</v>
      </c>
    </row>
    <row r="6" spans="1:5" x14ac:dyDescent="0.3">
      <c r="A6" s="3" t="s">
        <v>57</v>
      </c>
      <c r="B6">
        <f>Data!D4</f>
        <v>4386</v>
      </c>
      <c r="C6">
        <f>Data!D5</f>
        <v>850</v>
      </c>
    </row>
    <row r="9" spans="1:5" x14ac:dyDescent="0.3">
      <c r="A9" s="10" t="s">
        <v>59</v>
      </c>
      <c r="B9" s="11"/>
      <c r="C9" s="11"/>
    </row>
    <row r="10" spans="1:5" x14ac:dyDescent="0.3">
      <c r="A10" s="3"/>
      <c r="B10" s="3" t="s">
        <v>55</v>
      </c>
      <c r="C10" s="3" t="s">
        <v>56</v>
      </c>
    </row>
    <row r="11" spans="1:5" x14ac:dyDescent="0.3">
      <c r="A11" s="3" t="s">
        <v>60</v>
      </c>
      <c r="B11">
        <f>Data!H5</f>
        <v>120</v>
      </c>
      <c r="C11">
        <f>Data!H4</f>
        <v>44</v>
      </c>
    </row>
    <row r="12" spans="1:5" x14ac:dyDescent="0.3">
      <c r="A12" s="3" t="s">
        <v>61</v>
      </c>
      <c r="B12">
        <f>Data!G5</f>
        <v>62</v>
      </c>
      <c r="C12">
        <f>Data!G4</f>
        <v>28</v>
      </c>
    </row>
  </sheetData>
  <mergeCells count="3">
    <mergeCell ref="A3:C3"/>
    <mergeCell ref="A9:C9"/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fresh">
                <anchor moveWithCells="1" sizeWithCells="1">
                  <from>
                    <xdr:col>5</xdr:col>
                    <xdr:colOff>15240</xdr:colOff>
                    <xdr:row>2</xdr:row>
                    <xdr:rowOff>7620</xdr:rowOff>
                  </from>
                  <to>
                    <xdr:col>6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0EE42-7D47-400A-93EB-6783FA9FA40F}">
  <sheetPr codeName="Sheet2"/>
  <dimension ref="A2:K20"/>
  <sheetViews>
    <sheetView workbookViewId="0">
      <selection activeCell="F14" sqref="F14"/>
    </sheetView>
  </sheetViews>
  <sheetFormatPr defaultRowHeight="14.4" x14ac:dyDescent="0.3"/>
  <cols>
    <col min="1" max="1" width="15" bestFit="1" customWidth="1"/>
    <col min="2" max="2" width="9.33203125" bestFit="1" customWidth="1"/>
    <col min="3" max="3" width="9.44140625" bestFit="1" customWidth="1"/>
    <col min="5" max="5" width="14.77734375" customWidth="1"/>
    <col min="9" max="9" width="17.21875" bestFit="1" customWidth="1"/>
  </cols>
  <sheetData>
    <row r="2" spans="1:11" x14ac:dyDescent="0.3">
      <c r="A2" t="s">
        <v>62</v>
      </c>
    </row>
    <row r="3" spans="1:11" x14ac:dyDescent="0.3">
      <c r="B3" t="s">
        <v>55</v>
      </c>
      <c r="C3" t="s">
        <v>56</v>
      </c>
      <c r="F3" t="s">
        <v>55</v>
      </c>
      <c r="G3" t="s">
        <v>56</v>
      </c>
      <c r="J3" t="s">
        <v>55</v>
      </c>
      <c r="K3" t="s">
        <v>56</v>
      </c>
    </row>
    <row r="4" spans="1:11" x14ac:dyDescent="0.3">
      <c r="A4" t="s">
        <v>65</v>
      </c>
      <c r="E4" t="s">
        <v>64</v>
      </c>
      <c r="I4" t="s">
        <v>66</v>
      </c>
    </row>
    <row r="5" spans="1:11" x14ac:dyDescent="0.3">
      <c r="A5" t="s">
        <v>27</v>
      </c>
      <c r="E5" t="s">
        <v>67</v>
      </c>
      <c r="I5" t="s">
        <v>18</v>
      </c>
    </row>
    <row r="6" spans="1:11" x14ac:dyDescent="0.3">
      <c r="A6" t="s">
        <v>33</v>
      </c>
      <c r="E6" t="s">
        <v>68</v>
      </c>
      <c r="I6" t="s">
        <v>1</v>
      </c>
    </row>
    <row r="7" spans="1:11" x14ac:dyDescent="0.3">
      <c r="A7" t="s">
        <v>16</v>
      </c>
      <c r="E7" t="s">
        <v>17</v>
      </c>
      <c r="I7" t="s">
        <v>26</v>
      </c>
    </row>
    <row r="8" spans="1:11" x14ac:dyDescent="0.3">
      <c r="A8" t="s">
        <v>0</v>
      </c>
      <c r="I8" t="s">
        <v>37</v>
      </c>
    </row>
    <row r="9" spans="1:11" x14ac:dyDescent="0.3">
      <c r="A9" t="s">
        <v>14</v>
      </c>
      <c r="I9" t="s">
        <v>39</v>
      </c>
    </row>
    <row r="10" spans="1:11" x14ac:dyDescent="0.3">
      <c r="A10" t="s">
        <v>24</v>
      </c>
      <c r="I10" t="s">
        <v>17</v>
      </c>
    </row>
    <row r="11" spans="1:11" x14ac:dyDescent="0.3">
      <c r="A11" t="s">
        <v>30</v>
      </c>
    </row>
    <row r="12" spans="1:11" x14ac:dyDescent="0.3">
      <c r="A12" t="s">
        <v>35</v>
      </c>
    </row>
    <row r="13" spans="1:11" x14ac:dyDescent="0.3">
      <c r="A13" t="s">
        <v>38</v>
      </c>
    </row>
    <row r="14" spans="1:11" x14ac:dyDescent="0.3">
      <c r="A14" t="s">
        <v>46</v>
      </c>
    </row>
    <row r="15" spans="1:11" x14ac:dyDescent="0.3">
      <c r="A15" t="s">
        <v>48</v>
      </c>
    </row>
    <row r="16" spans="1:11" x14ac:dyDescent="0.3">
      <c r="A16" t="s">
        <v>41</v>
      </c>
    </row>
    <row r="19" spans="1:3" x14ac:dyDescent="0.3">
      <c r="B19" t="s">
        <v>55</v>
      </c>
      <c r="C19" t="s">
        <v>56</v>
      </c>
    </row>
    <row r="20" spans="1:3" x14ac:dyDescent="0.3">
      <c r="A20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65498-7BCB-4A41-ADDE-24FF56D262B5}">
  <sheetPr codeName="Sheet3"/>
  <dimension ref="A2:H38"/>
  <sheetViews>
    <sheetView workbookViewId="0">
      <selection activeCell="I10" sqref="I10"/>
    </sheetView>
  </sheetViews>
  <sheetFormatPr defaultRowHeight="14.4" x14ac:dyDescent="0.3"/>
  <cols>
    <col min="1" max="1" width="15.77734375" customWidth="1"/>
    <col min="2" max="2" width="13.109375" customWidth="1"/>
    <col min="3" max="3" width="16.88671875" customWidth="1"/>
  </cols>
  <sheetData>
    <row r="2" spans="1:8" x14ac:dyDescent="0.3">
      <c r="A2" t="s">
        <v>62</v>
      </c>
    </row>
    <row r="3" spans="1:8" x14ac:dyDescent="0.3">
      <c r="B3" t="s">
        <v>55</v>
      </c>
      <c r="C3" t="s">
        <v>56</v>
      </c>
      <c r="G3" t="s">
        <v>55</v>
      </c>
      <c r="H3" t="s">
        <v>56</v>
      </c>
    </row>
    <row r="4" spans="1:8" x14ac:dyDescent="0.3">
      <c r="A4" t="s">
        <v>69</v>
      </c>
      <c r="F4" t="s">
        <v>71</v>
      </c>
    </row>
    <row r="5" spans="1:8" x14ac:dyDescent="0.3">
      <c r="A5" t="s">
        <v>2</v>
      </c>
      <c r="F5" t="s">
        <v>3</v>
      </c>
    </row>
    <row r="6" spans="1:8" x14ac:dyDescent="0.3">
      <c r="A6" t="s">
        <v>8</v>
      </c>
      <c r="F6" t="s">
        <v>7</v>
      </c>
    </row>
    <row r="7" spans="1:8" x14ac:dyDescent="0.3">
      <c r="A7" t="s">
        <v>4</v>
      </c>
    </row>
    <row r="8" spans="1:8" x14ac:dyDescent="0.3">
      <c r="A8" t="s">
        <v>23</v>
      </c>
    </row>
    <row r="9" spans="1:8" x14ac:dyDescent="0.3">
      <c r="A9" t="s">
        <v>13</v>
      </c>
    </row>
    <row r="10" spans="1:8" x14ac:dyDescent="0.3">
      <c r="A10" t="s">
        <v>9</v>
      </c>
    </row>
    <row r="11" spans="1:8" x14ac:dyDescent="0.3">
      <c r="A11" t="s">
        <v>10</v>
      </c>
    </row>
    <row r="12" spans="1:8" x14ac:dyDescent="0.3">
      <c r="A12" t="s">
        <v>6</v>
      </c>
    </row>
    <row r="13" spans="1:8" x14ac:dyDescent="0.3">
      <c r="A13" t="s">
        <v>25</v>
      </c>
    </row>
    <row r="14" spans="1:8" x14ac:dyDescent="0.3">
      <c r="A14" t="s">
        <v>5</v>
      </c>
    </row>
    <row r="15" spans="1:8" x14ac:dyDescent="0.3">
      <c r="A15" t="s">
        <v>20</v>
      </c>
    </row>
    <row r="16" spans="1:8" x14ac:dyDescent="0.3">
      <c r="A16" t="s">
        <v>19</v>
      </c>
    </row>
    <row r="17" spans="1:1" x14ac:dyDescent="0.3">
      <c r="A17" t="s">
        <v>15</v>
      </c>
    </row>
    <row r="18" spans="1:1" x14ac:dyDescent="0.3">
      <c r="A18" t="s">
        <v>12</v>
      </c>
    </row>
    <row r="19" spans="1:1" x14ac:dyDescent="0.3">
      <c r="A19" t="s">
        <v>31</v>
      </c>
    </row>
    <row r="20" spans="1:1" x14ac:dyDescent="0.3">
      <c r="A20" t="s">
        <v>21</v>
      </c>
    </row>
    <row r="21" spans="1:1" x14ac:dyDescent="0.3">
      <c r="A21" t="s">
        <v>28</v>
      </c>
    </row>
    <row r="22" spans="1:1" x14ac:dyDescent="0.3">
      <c r="A22" t="s">
        <v>34</v>
      </c>
    </row>
    <row r="23" spans="1:1" x14ac:dyDescent="0.3">
      <c r="A23" t="s">
        <v>36</v>
      </c>
    </row>
    <row r="24" spans="1:1" x14ac:dyDescent="0.3">
      <c r="A24" t="s">
        <v>11</v>
      </c>
    </row>
    <row r="25" spans="1:1" x14ac:dyDescent="0.3">
      <c r="A25" t="s">
        <v>32</v>
      </c>
    </row>
    <row r="26" spans="1:1" x14ac:dyDescent="0.3">
      <c r="A26" t="s">
        <v>40</v>
      </c>
    </row>
    <row r="27" spans="1:1" x14ac:dyDescent="0.3">
      <c r="A27" t="s">
        <v>42</v>
      </c>
    </row>
    <row r="28" spans="1:1" x14ac:dyDescent="0.3">
      <c r="A28" t="s">
        <v>44</v>
      </c>
    </row>
    <row r="29" spans="1:1" x14ac:dyDescent="0.3">
      <c r="A29" t="s">
        <v>22</v>
      </c>
    </row>
    <row r="30" spans="1:1" x14ac:dyDescent="0.3">
      <c r="A30" t="s">
        <v>52</v>
      </c>
    </row>
    <row r="31" spans="1:1" x14ac:dyDescent="0.3">
      <c r="A31" t="s">
        <v>45</v>
      </c>
    </row>
    <row r="32" spans="1:1" x14ac:dyDescent="0.3">
      <c r="A32" t="s">
        <v>43</v>
      </c>
    </row>
    <row r="33" spans="1:1" x14ac:dyDescent="0.3">
      <c r="A33" t="s">
        <v>53</v>
      </c>
    </row>
    <row r="34" spans="1:1" x14ac:dyDescent="0.3">
      <c r="A34" t="s">
        <v>49</v>
      </c>
    </row>
    <row r="35" spans="1:1" x14ac:dyDescent="0.3">
      <c r="A35" t="s">
        <v>50</v>
      </c>
    </row>
    <row r="36" spans="1:1" x14ac:dyDescent="0.3">
      <c r="A36" t="s">
        <v>29</v>
      </c>
    </row>
    <row r="37" spans="1:1" x14ac:dyDescent="0.3">
      <c r="A37" t="s">
        <v>51</v>
      </c>
    </row>
    <row r="38" spans="1:1" x14ac:dyDescent="0.3">
      <c r="A38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8A855-4899-4BE6-B63E-9ED15FDB9A94}">
  <sheetPr codeName="Sheet4"/>
  <dimension ref="A2:B11"/>
  <sheetViews>
    <sheetView workbookViewId="0">
      <selection activeCell="K17" sqref="K17"/>
    </sheetView>
  </sheetViews>
  <sheetFormatPr defaultRowHeight="14.4" x14ac:dyDescent="0.3"/>
  <sheetData>
    <row r="2" spans="1:2" x14ac:dyDescent="0.3">
      <c r="A2" t="s">
        <v>72</v>
      </c>
    </row>
    <row r="4" spans="1:2" x14ac:dyDescent="0.3">
      <c r="A4" t="s">
        <v>69</v>
      </c>
      <c r="B4" t="s">
        <v>73</v>
      </c>
    </row>
    <row r="11" spans="1:2" x14ac:dyDescent="0.3">
      <c r="A11" t="s">
        <v>70</v>
      </c>
      <c r="B11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31C1-8E8F-48FC-84E6-615BF6BA12A2}">
  <sheetPr codeName="Sheet5"/>
  <dimension ref="B2:H5"/>
  <sheetViews>
    <sheetView showGridLines="0" workbookViewId="0">
      <selection activeCell="H14" sqref="H14"/>
    </sheetView>
  </sheetViews>
  <sheetFormatPr defaultRowHeight="14.4" x14ac:dyDescent="0.3"/>
  <cols>
    <col min="2" max="2" width="10.6640625" bestFit="1" customWidth="1"/>
    <col min="3" max="3" width="8" bestFit="1" customWidth="1"/>
    <col min="4" max="4" width="6.21875" bestFit="1" customWidth="1"/>
    <col min="5" max="5" width="8.44140625" bestFit="1" customWidth="1"/>
    <col min="6" max="6" width="11.109375" bestFit="1" customWidth="1"/>
    <col min="7" max="7" width="16.44140625" bestFit="1" customWidth="1"/>
    <col min="8" max="8" width="12.77734375" bestFit="1" customWidth="1"/>
    <col min="9" max="9" width="12.77734375" customWidth="1"/>
    <col min="10" max="10" width="10.6640625" bestFit="1" customWidth="1"/>
    <col min="11" max="11" width="8.33203125" bestFit="1" customWidth="1"/>
    <col min="12" max="12" width="8.44140625" bestFit="1" customWidth="1"/>
  </cols>
  <sheetData>
    <row r="2" spans="2:8" x14ac:dyDescent="0.3">
      <c r="B2" s="10" t="s">
        <v>76</v>
      </c>
      <c r="C2" s="11"/>
      <c r="D2" s="11"/>
      <c r="E2" s="1"/>
      <c r="F2" s="10" t="s">
        <v>77</v>
      </c>
      <c r="G2" s="11"/>
      <c r="H2" s="8"/>
    </row>
    <row r="3" spans="2:8" x14ac:dyDescent="0.3">
      <c r="B3" s="2" t="s">
        <v>80</v>
      </c>
      <c r="C3" s="2" t="s">
        <v>74</v>
      </c>
      <c r="D3" s="2" t="s">
        <v>75</v>
      </c>
      <c r="F3" s="8" t="s">
        <v>80</v>
      </c>
      <c r="G3" s="2" t="s">
        <v>78</v>
      </c>
      <c r="H3" s="2" t="s">
        <v>79</v>
      </c>
    </row>
    <row r="4" spans="2:8" x14ac:dyDescent="0.3">
      <c r="B4" s="6" t="s">
        <v>81</v>
      </c>
      <c r="C4" s="7">
        <v>4357.2700000000004</v>
      </c>
      <c r="D4" s="7">
        <v>4386</v>
      </c>
      <c r="F4" s="6" t="s">
        <v>83</v>
      </c>
      <c r="G4" s="6">
        <v>28</v>
      </c>
      <c r="H4" s="7">
        <v>44</v>
      </c>
    </row>
    <row r="5" spans="2:8" x14ac:dyDescent="0.3">
      <c r="B5" s="4" t="s">
        <v>82</v>
      </c>
      <c r="C5" s="5">
        <v>1772.61</v>
      </c>
      <c r="D5" s="5">
        <v>850</v>
      </c>
      <c r="F5" s="5" t="s">
        <v>84</v>
      </c>
      <c r="G5" s="5">
        <v>62</v>
      </c>
      <c r="H5" s="5">
        <v>120</v>
      </c>
    </row>
  </sheetData>
  <mergeCells count="2">
    <mergeCell ref="B2:D2"/>
    <mergeCell ref="F2:G2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BB49-4FF5-49C7-BA95-9EC10117DA33}">
  <sheetPr codeName="Sheet6"/>
  <dimension ref="A1:A88"/>
  <sheetViews>
    <sheetView showGridLines="0" workbookViewId="0">
      <selection activeCell="C18" sqref="C18"/>
    </sheetView>
  </sheetViews>
  <sheetFormatPr defaultRowHeight="14.4" x14ac:dyDescent="0.3"/>
  <cols>
    <col min="1" max="16384" width="8.88671875" style="9"/>
  </cols>
  <sheetData>
    <row r="1" spans="1:1" x14ac:dyDescent="0.3">
      <c r="A1" s="9" t="s">
        <v>85</v>
      </c>
    </row>
    <row r="2" spans="1:1" x14ac:dyDescent="0.3">
      <c r="A2" s="9" t="s">
        <v>127</v>
      </c>
    </row>
    <row r="3" spans="1:1" x14ac:dyDescent="0.3">
      <c r="A3" s="9" t="s">
        <v>128</v>
      </c>
    </row>
    <row r="4" spans="1:1" x14ac:dyDescent="0.3">
      <c r="A4" s="9" t="s">
        <v>86</v>
      </c>
    </row>
    <row r="5" spans="1:1" x14ac:dyDescent="0.3">
      <c r="A5" s="9" t="s">
        <v>129</v>
      </c>
    </row>
    <row r="6" spans="1:1" x14ac:dyDescent="0.3">
      <c r="A6" s="9" t="s">
        <v>130</v>
      </c>
    </row>
    <row r="7" spans="1:1" x14ac:dyDescent="0.3">
      <c r="A7" s="9" t="s">
        <v>85</v>
      </c>
    </row>
    <row r="10" spans="1:1" x14ac:dyDescent="0.3">
      <c r="A10" s="9" t="s">
        <v>87</v>
      </c>
    </row>
    <row r="11" spans="1:1" x14ac:dyDescent="0.3">
      <c r="A11" s="9" t="s">
        <v>131</v>
      </c>
    </row>
    <row r="12" spans="1:1" x14ac:dyDescent="0.3">
      <c r="A12" s="9" t="s">
        <v>87</v>
      </c>
    </row>
    <row r="14" spans="1:1" x14ac:dyDescent="0.3">
      <c r="A14" s="9" t="s">
        <v>132</v>
      </c>
    </row>
    <row r="15" spans="1:1" x14ac:dyDescent="0.3">
      <c r="A15" s="9" t="s">
        <v>88</v>
      </c>
    </row>
    <row r="16" spans="1:1" x14ac:dyDescent="0.3">
      <c r="A16" s="9" t="s">
        <v>89</v>
      </c>
    </row>
    <row r="17" spans="1:1" x14ac:dyDescent="0.3">
      <c r="A17" s="9" t="s">
        <v>90</v>
      </c>
    </row>
    <row r="18" spans="1:1" x14ac:dyDescent="0.3">
      <c r="A18" s="9" t="s">
        <v>133</v>
      </c>
    </row>
    <row r="19" spans="1:1" x14ac:dyDescent="0.3">
      <c r="A19" s="9" t="s">
        <v>91</v>
      </c>
    </row>
    <row r="20" spans="1:1" x14ac:dyDescent="0.3">
      <c r="A20" s="9" t="s">
        <v>92</v>
      </c>
    </row>
    <row r="21" spans="1:1" x14ac:dyDescent="0.3">
      <c r="A21" s="9" t="s">
        <v>93</v>
      </c>
    </row>
    <row r="22" spans="1:1" x14ac:dyDescent="0.3">
      <c r="A22" s="9" t="s">
        <v>94</v>
      </c>
    </row>
    <row r="23" spans="1:1" x14ac:dyDescent="0.3">
      <c r="A23" s="9" t="s">
        <v>95</v>
      </c>
    </row>
    <row r="24" spans="1:1" x14ac:dyDescent="0.3">
      <c r="A24" s="9" t="s">
        <v>96</v>
      </c>
    </row>
    <row r="25" spans="1:1" x14ac:dyDescent="0.3">
      <c r="A25" s="9" t="s">
        <v>97</v>
      </c>
    </row>
    <row r="26" spans="1:1" x14ac:dyDescent="0.3">
      <c r="A26" s="9" t="s">
        <v>98</v>
      </c>
    </row>
    <row r="27" spans="1:1" x14ac:dyDescent="0.3">
      <c r="A27" s="9" t="s">
        <v>99</v>
      </c>
    </row>
    <row r="28" spans="1:1" x14ac:dyDescent="0.3">
      <c r="A28" s="9" t="s">
        <v>100</v>
      </c>
    </row>
    <row r="29" spans="1:1" x14ac:dyDescent="0.3">
      <c r="A29" s="9" t="s">
        <v>101</v>
      </c>
    </row>
    <row r="30" spans="1:1" x14ac:dyDescent="0.3">
      <c r="A30" s="9" t="s">
        <v>102</v>
      </c>
    </row>
    <row r="31" spans="1:1" x14ac:dyDescent="0.3">
      <c r="A31" s="9" t="s">
        <v>103</v>
      </c>
    </row>
    <row r="32" spans="1:1" x14ac:dyDescent="0.3">
      <c r="A32" s="9" t="s">
        <v>104</v>
      </c>
    </row>
    <row r="33" spans="1:1" x14ac:dyDescent="0.3">
      <c r="A33" s="9" t="s">
        <v>105</v>
      </c>
    </row>
    <row r="34" spans="1:1" x14ac:dyDescent="0.3">
      <c r="A34" s="9" t="s">
        <v>106</v>
      </c>
    </row>
    <row r="35" spans="1:1" x14ac:dyDescent="0.3">
      <c r="A35" s="9" t="s">
        <v>107</v>
      </c>
    </row>
    <row r="36" spans="1:1" x14ac:dyDescent="0.3">
      <c r="A36" s="9" t="s">
        <v>108</v>
      </c>
    </row>
    <row r="37" spans="1:1" x14ac:dyDescent="0.3">
      <c r="A37" s="9" t="s">
        <v>109</v>
      </c>
    </row>
    <row r="38" spans="1:1" x14ac:dyDescent="0.3">
      <c r="A38" s="9" t="s">
        <v>110</v>
      </c>
    </row>
    <row r="39" spans="1:1" x14ac:dyDescent="0.3">
      <c r="A39" s="9" t="s">
        <v>111</v>
      </c>
    </row>
    <row r="42" spans="1:1" x14ac:dyDescent="0.3">
      <c r="A42" s="9" t="s">
        <v>134</v>
      </c>
    </row>
    <row r="43" spans="1:1" x14ac:dyDescent="0.3">
      <c r="A43" s="9" t="s">
        <v>112</v>
      </c>
    </row>
    <row r="44" spans="1:1" x14ac:dyDescent="0.3">
      <c r="A44" s="9" t="s">
        <v>113</v>
      </c>
    </row>
    <row r="45" spans="1:1" x14ac:dyDescent="0.3">
      <c r="A45" s="9" t="s">
        <v>114</v>
      </c>
    </row>
    <row r="46" spans="1:1" x14ac:dyDescent="0.3">
      <c r="A46" s="9" t="s">
        <v>115</v>
      </c>
    </row>
    <row r="47" spans="1:1" x14ac:dyDescent="0.3">
      <c r="A47" s="9" t="s">
        <v>116</v>
      </c>
    </row>
    <row r="48" spans="1:1" x14ac:dyDescent="0.3">
      <c r="A48" s="9" t="s">
        <v>117</v>
      </c>
    </row>
    <row r="52" spans="1:1" x14ac:dyDescent="0.3">
      <c r="A52" s="9" t="s">
        <v>118</v>
      </c>
    </row>
    <row r="53" spans="1:1" x14ac:dyDescent="0.3">
      <c r="A53" s="9" t="s">
        <v>119</v>
      </c>
    </row>
    <row r="54" spans="1:1" x14ac:dyDescent="0.3">
      <c r="A54" s="9" t="s">
        <v>100</v>
      </c>
    </row>
    <row r="55" spans="1:1" x14ac:dyDescent="0.3">
      <c r="A55" s="9" t="s">
        <v>120</v>
      </c>
    </row>
    <row r="56" spans="1:1" x14ac:dyDescent="0.3">
      <c r="A56" s="9" t="s">
        <v>121</v>
      </c>
    </row>
    <row r="57" spans="1:1" x14ac:dyDescent="0.3">
      <c r="A57" s="9" t="s">
        <v>122</v>
      </c>
    </row>
    <row r="58" spans="1:1" x14ac:dyDescent="0.3">
      <c r="A58" s="9" t="s">
        <v>98</v>
      </c>
    </row>
    <row r="59" spans="1:1" x14ac:dyDescent="0.3">
      <c r="A59" s="9" t="s">
        <v>99</v>
      </c>
    </row>
    <row r="60" spans="1:1" x14ac:dyDescent="0.3">
      <c r="A60" s="9" t="s">
        <v>100</v>
      </c>
    </row>
    <row r="61" spans="1:1" x14ac:dyDescent="0.3">
      <c r="A61" s="9" t="s">
        <v>101</v>
      </c>
    </row>
    <row r="62" spans="1:1" x14ac:dyDescent="0.3">
      <c r="A62" s="9" t="s">
        <v>102</v>
      </c>
    </row>
    <row r="63" spans="1:1" x14ac:dyDescent="0.3">
      <c r="A63" s="9" t="s">
        <v>103</v>
      </c>
    </row>
    <row r="64" spans="1:1" x14ac:dyDescent="0.3">
      <c r="A64" s="9" t="s">
        <v>104</v>
      </c>
    </row>
    <row r="65" spans="1:1" x14ac:dyDescent="0.3">
      <c r="A65" s="9" t="s">
        <v>123</v>
      </c>
    </row>
    <row r="66" spans="1:1" x14ac:dyDescent="0.3">
      <c r="A66" s="9" t="s">
        <v>124</v>
      </c>
    </row>
    <row r="67" spans="1:1" x14ac:dyDescent="0.3">
      <c r="A67" s="9" t="s">
        <v>125</v>
      </c>
    </row>
    <row r="68" spans="1:1" x14ac:dyDescent="0.3">
      <c r="A68" s="9" t="s">
        <v>108</v>
      </c>
    </row>
    <row r="69" spans="1:1" x14ac:dyDescent="0.3">
      <c r="A69" s="9" t="s">
        <v>109</v>
      </c>
    </row>
    <row r="70" spans="1:1" x14ac:dyDescent="0.3">
      <c r="A70" s="9" t="s">
        <v>110</v>
      </c>
    </row>
    <row r="71" spans="1:1" x14ac:dyDescent="0.3">
      <c r="A71" s="9" t="s">
        <v>126</v>
      </c>
    </row>
    <row r="75" spans="1:1" x14ac:dyDescent="0.3">
      <c r="A75" s="9" t="s">
        <v>87</v>
      </c>
    </row>
    <row r="76" spans="1:1" x14ac:dyDescent="0.3">
      <c r="A76" s="9" t="s">
        <v>135</v>
      </c>
    </row>
    <row r="77" spans="1:1" x14ac:dyDescent="0.3">
      <c r="A77" s="9" t="s">
        <v>87</v>
      </c>
    </row>
    <row r="80" spans="1:1" x14ac:dyDescent="0.3">
      <c r="A80" s="9" t="s">
        <v>87</v>
      </c>
    </row>
    <row r="81" spans="1:1" x14ac:dyDescent="0.3">
      <c r="A81" s="9" t="s">
        <v>136</v>
      </c>
    </row>
    <row r="82" spans="1:1" x14ac:dyDescent="0.3">
      <c r="A82" s="9" t="s">
        <v>87</v>
      </c>
    </row>
    <row r="86" spans="1:1" x14ac:dyDescent="0.3">
      <c r="A86" s="9" t="s">
        <v>87</v>
      </c>
    </row>
    <row r="87" spans="1:1" x14ac:dyDescent="0.3">
      <c r="A87" s="9" t="s">
        <v>137</v>
      </c>
    </row>
    <row r="88" spans="1:1" x14ac:dyDescent="0.3">
      <c r="A88" s="9" t="s">
        <v>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AFCDD9-B55E-4FFC-B48E-891C3BB354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Executive Summary</vt:lpstr>
      <vt:lpstr>Sales Detail (Customer)</vt:lpstr>
      <vt:lpstr>Sales Detail (Product)</vt:lpstr>
      <vt:lpstr>Charts</vt:lpstr>
      <vt:lpstr>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</dc:creator>
  <cp:lastModifiedBy>piyus</cp:lastModifiedBy>
  <dcterms:created xsi:type="dcterms:W3CDTF">2018-04-14T18:18:32Z</dcterms:created>
  <dcterms:modified xsi:type="dcterms:W3CDTF">2018-04-27T16:45:52Z</dcterms:modified>
</cp:coreProperties>
</file>